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KOMITE MUTU RSSK\1. PMKP 2026\Laporan PMKP 2026\Agregrasi dan analisa data\"/>
    </mc:Choice>
  </mc:AlternateContent>
  <xr:revisionPtr revIDLastSave="0" documentId="13_ncr:1_{48405E2B-75C2-41A2-8EE4-B57ACDFC3B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afik TW 2 2026" sheetId="9" r:id="rId1"/>
    <sheet name="DATA FIKS TH 202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cujocxnfBYgNGaOUQN897uVjqudgMgNoKYaD0X9FAtc="/>
    </ext>
  </extLst>
</workbook>
</file>

<file path=xl/calcChain.xml><?xml version="1.0" encoding="utf-8"?>
<calcChain xmlns="http://schemas.openxmlformats.org/spreadsheetml/2006/main">
  <c r="K6" i="6" l="1"/>
  <c r="K7" i="6"/>
  <c r="K8" i="6"/>
  <c r="K9" i="6"/>
  <c r="K10" i="6"/>
  <c r="K11" i="6"/>
  <c r="K12" i="6"/>
  <c r="K13" i="6"/>
  <c r="K14" i="6"/>
  <c r="K15" i="6"/>
  <c r="K17" i="6"/>
  <c r="K5" i="6"/>
  <c r="G6" i="6"/>
  <c r="G7" i="6"/>
  <c r="G8" i="6"/>
  <c r="G9" i="6"/>
  <c r="G10" i="6"/>
  <c r="G11" i="6"/>
  <c r="G12" i="6"/>
  <c r="G13" i="6"/>
  <c r="G14" i="6"/>
  <c r="G15" i="6"/>
  <c r="G5" i="6"/>
</calcChain>
</file>

<file path=xl/sharedStrings.xml><?xml version="1.0" encoding="utf-8"?>
<sst xmlns="http://schemas.openxmlformats.org/spreadsheetml/2006/main" count="218" uniqueCount="40">
  <si>
    <t>Jan</t>
  </si>
  <si>
    <t>Maret</t>
  </si>
  <si>
    <t>April</t>
  </si>
  <si>
    <t>Mei</t>
  </si>
  <si>
    <t>Juni</t>
  </si>
  <si>
    <t>Juli</t>
  </si>
  <si>
    <t>Sept</t>
  </si>
  <si>
    <t>Okt</t>
  </si>
  <si>
    <t>Nov</t>
  </si>
  <si>
    <t>Des</t>
  </si>
  <si>
    <t>Kepatuhan Kebersihan Tangan</t>
  </si>
  <si>
    <t>Kepatuhan penggunaan Alat Pelindung Diri</t>
  </si>
  <si>
    <t>Kepatuhan Identifikasi Pasien</t>
  </si>
  <si>
    <t>Waktu tanggap seksio sesarea emergensi</t>
  </si>
  <si>
    <t>Waktu Tunggu Rawat Jalan</t>
  </si>
  <si>
    <t>Penundaan Operasi Elektif</t>
  </si>
  <si>
    <t>Kepatuhan waktu visite dokter</t>
  </si>
  <si>
    <t>Pelaporan nilai kritis laboratorium</t>
  </si>
  <si>
    <t>Kepatuhan Penggunaan Formularium nasional</t>
  </si>
  <si>
    <t>Kepatuhan Upaya Pencegahan Risiko jatuh</t>
  </si>
  <si>
    <t>Kecepatan respon Terhadap Komplain</t>
  </si>
  <si>
    <t>Mar</t>
  </si>
  <si>
    <t>NO</t>
  </si>
  <si>
    <t>JENIS INDIKATOR MUTU</t>
  </si>
  <si>
    <t>Standar</t>
  </si>
  <si>
    <t>Feb</t>
  </si>
  <si>
    <t>TW 1</t>
  </si>
  <si>
    <t xml:space="preserve">Mei </t>
  </si>
  <si>
    <t>Agst</t>
  </si>
  <si>
    <t>≥ 80%</t>
  </si>
  <si>
    <t>≤ 5%</t>
  </si>
  <si>
    <t>Kepatuhan Terhadap alur Clinical Pathway</t>
  </si>
  <si>
    <t>Kepuasan Pasien dan Keluarga</t>
  </si>
  <si>
    <t>≥ 76,61</t>
  </si>
  <si>
    <t>Capaian</t>
  </si>
  <si>
    <t>januari</t>
  </si>
  <si>
    <t>februari</t>
  </si>
  <si>
    <t>TW 2</t>
  </si>
  <si>
    <t xml:space="preserve">HASIL CAPAIAN INDIKATOR MUTU NASIONAL TAHUN 2026 </t>
  </si>
  <si>
    <t>SEMESTER 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</si>
</sst>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B083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8" xfId="0" applyNumberFormat="1" applyFont="1" applyFill="1" applyBorder="1" applyAlignment="1">
      <alignment horizontal="center" vertical="center"/>
    </xf>
    <xf numFmtId="9" fontId="2" fillId="2" borderId="9" xfId="0" applyNumberFormat="1" applyFont="1" applyFill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5" xfId="0" applyFont="1" applyBorder="1"/>
    <xf numFmtId="0" fontId="0" fillId="0" borderId="0" xfId="0" applyAlignment="1">
      <alignment horizontal="center"/>
    </xf>
    <xf numFmtId="9" fontId="2" fillId="2" borderId="8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0" xfId="0" applyFill="1" applyBorder="1"/>
    <xf numFmtId="0" fontId="2" fillId="3" borderId="1" xfId="0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 vertical="center"/>
    </xf>
    <xf numFmtId="9" fontId="0" fillId="3" borderId="10" xfId="0" applyNumberForma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/>
    </xf>
    <xf numFmtId="9" fontId="4" fillId="2" borderId="8" xfId="0" applyNumberFormat="1" applyFont="1" applyFill="1" applyBorder="1"/>
    <xf numFmtId="9" fontId="3" fillId="2" borderId="8" xfId="0" applyNumberFormat="1" applyFont="1" applyFill="1" applyBorder="1" applyAlignment="1">
      <alignment horizontal="center" vertical="center"/>
    </xf>
    <xf numFmtId="9" fontId="2" fillId="2" borderId="3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6" xfId="0" applyFont="1" applyBorder="1" applyAlignment="1">
      <alignment horizontal="center"/>
    </xf>
    <xf numFmtId="1" fontId="2" fillId="2" borderId="8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Kebersihan Tangan Tahun</a:t>
            </a:r>
            <a:r>
              <a:rPr lang="en-ID" baseline="0"/>
              <a:t> 2026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2026'!$D$4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2026'!$E$3:$J$3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2026'!$E$4:$J$4</c:f>
              <c:numCache>
                <c:formatCode>0%</c:formatCode>
                <c:ptCount val="6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E-4FAC-A15A-FCE096BC6F79}"/>
            </c:ext>
          </c:extLst>
        </c:ser>
        <c:ser>
          <c:idx val="1"/>
          <c:order val="1"/>
          <c:tx>
            <c:strRef>
              <c:f>'Grafik TW 2 2026'!$D$5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2026'!$E$3:$J$3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2026'!$E$5:$J$5</c:f>
              <c:numCache>
                <c:formatCode>0%</c:formatCode>
                <c:ptCount val="6"/>
                <c:pt idx="0">
                  <c:v>0.87</c:v>
                </c:pt>
                <c:pt idx="1">
                  <c:v>0.87</c:v>
                </c:pt>
                <c:pt idx="2">
                  <c:v>0.86</c:v>
                </c:pt>
                <c:pt idx="3">
                  <c:v>0.86</c:v>
                </c:pt>
                <c:pt idx="4">
                  <c:v>0.86</c:v>
                </c:pt>
                <c:pt idx="5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E-4FAC-A15A-FCE096BC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27248"/>
        <c:axId val="148828208"/>
      </c:lineChart>
      <c:catAx>
        <c:axId val="1488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8208"/>
        <c:crosses val="autoZero"/>
        <c:auto val="1"/>
        <c:lblAlgn val="ctr"/>
        <c:lblOffset val="100"/>
        <c:noMultiLvlLbl val="0"/>
      </c:catAx>
      <c:valAx>
        <c:axId val="1488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penggunaan Alat Pelindung Diri Tahun</a:t>
            </a:r>
            <a:r>
              <a:rPr lang="en-ID" baseline="0"/>
              <a:t> 2026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2026'!$D$7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2026'!$E$6:$J$6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2026'!$E$7:$J$7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2-4188-B98F-72751322F9EB}"/>
            </c:ext>
          </c:extLst>
        </c:ser>
        <c:ser>
          <c:idx val="1"/>
          <c:order val="1"/>
          <c:tx>
            <c:strRef>
              <c:f>'Grafik TW 2 2026'!$D$8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2026'!$E$6:$J$6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2026'!$E$8:$J$8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2-4188-B98F-72751322F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0800"/>
        <c:axId val="20901280"/>
      </c:lineChart>
      <c:catAx>
        <c:axId val="209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280"/>
        <c:crosses val="autoZero"/>
        <c:auto val="1"/>
        <c:lblAlgn val="ctr"/>
        <c:lblOffset val="100"/>
        <c:noMultiLvlLbl val="0"/>
      </c:catAx>
      <c:valAx>
        <c:axId val="209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Identifikasi Pasien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2026'!$D$10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2026'!$E$9:$J$9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2026'!$E$10:$J$10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C-49B2-8753-14F8DF567060}"/>
            </c:ext>
          </c:extLst>
        </c:ser>
        <c:ser>
          <c:idx val="1"/>
          <c:order val="1"/>
          <c:tx>
            <c:strRef>
              <c:f>'Grafik TW 2 2026'!$D$11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2026'!$E$9:$J$9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2026'!$E$11:$J$11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C-49B2-8753-14F8DF567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905040"/>
        <c:axId val="2059892560"/>
      </c:lineChart>
      <c:catAx>
        <c:axId val="20599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92560"/>
        <c:crosses val="autoZero"/>
        <c:auto val="1"/>
        <c:lblAlgn val="ctr"/>
        <c:lblOffset val="100"/>
        <c:noMultiLvlLbl val="0"/>
      </c:catAx>
      <c:valAx>
        <c:axId val="205989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90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Waktu tanggap seksio sesarea emergensi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2026'!$D$13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2026'!$E$12:$J$12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2026'!$E$13:$J$13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8-40F1-BA55-008879C1BAB2}"/>
            </c:ext>
          </c:extLst>
        </c:ser>
        <c:ser>
          <c:idx val="1"/>
          <c:order val="1"/>
          <c:tx>
            <c:strRef>
              <c:f>'Grafik TW 2 2026'!$D$14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2026'!$E$12:$J$12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2026'!$E$14:$J$14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8-40F1-BA55-008879C1B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650048"/>
        <c:axId val="2062651008"/>
      </c:lineChart>
      <c:catAx>
        <c:axId val="206265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51008"/>
        <c:crosses val="autoZero"/>
        <c:auto val="1"/>
        <c:lblAlgn val="ctr"/>
        <c:lblOffset val="100"/>
        <c:noMultiLvlLbl val="0"/>
      </c:catAx>
      <c:valAx>
        <c:axId val="206265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5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Waktu Tunggu Rawat Jalan Tahun 2026</a:t>
            </a:r>
          </a:p>
        </c:rich>
      </c:tx>
      <c:layout>
        <c:manualLayout>
          <c:xMode val="edge"/>
          <c:yMode val="edge"/>
          <c:x val="0.2477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2026'!$D$16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2026'!$E$15:$J$15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2026'!$E$16:$J$16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A0A-8775-0E0329CFAE72}"/>
            </c:ext>
          </c:extLst>
        </c:ser>
        <c:ser>
          <c:idx val="1"/>
          <c:order val="1"/>
          <c:tx>
            <c:strRef>
              <c:f>'Grafik TW 2 2026'!$D$17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2026'!$E$15:$J$15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2026'!$E$17:$J$17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8-4A0A-8775-0E0329CFA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063104"/>
        <c:axId val="227069344"/>
      </c:lineChart>
      <c:catAx>
        <c:axId val="2270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69344"/>
        <c:crosses val="autoZero"/>
        <c:auto val="1"/>
        <c:lblAlgn val="ctr"/>
        <c:lblOffset val="100"/>
        <c:noMultiLvlLbl val="0"/>
      </c:catAx>
      <c:valAx>
        <c:axId val="2270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6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Penundaan Operasi Elektif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2026'!$D$19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2026'!$E$18:$J$18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2026'!$E$19:$J$19</c:f>
              <c:numCache>
                <c:formatCode>0%</c:formatCode>
                <c:ptCount val="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5-40BC-A803-04D7D851BA28}"/>
            </c:ext>
          </c:extLst>
        </c:ser>
        <c:ser>
          <c:idx val="1"/>
          <c:order val="1"/>
          <c:tx>
            <c:strRef>
              <c:f>'Grafik TW 2 2026'!$D$20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2026'!$E$18:$J$18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2026'!$E$20:$J$20</c:f>
              <c:numCache>
                <c:formatCode>0%</c:formatCode>
                <c:ptCount val="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25-40BC-A803-04D7D851B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633648"/>
        <c:axId val="2044634608"/>
      </c:lineChart>
      <c:catAx>
        <c:axId val="20446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34608"/>
        <c:crosses val="autoZero"/>
        <c:auto val="1"/>
        <c:lblAlgn val="ctr"/>
        <c:lblOffset val="100"/>
        <c:noMultiLvlLbl val="0"/>
      </c:catAx>
      <c:valAx>
        <c:axId val="20446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waktu visite dokter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2026'!$D$22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2026'!$E$21:$J$21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2026'!$E$22:$J$22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F-453C-98AE-600548149F1E}"/>
            </c:ext>
          </c:extLst>
        </c:ser>
        <c:ser>
          <c:idx val="1"/>
          <c:order val="1"/>
          <c:tx>
            <c:strRef>
              <c:f>'Grafik TW 2 2026'!$D$23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2026'!$E$21:$J$21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2026'!$E$23:$J$23</c:f>
              <c:numCache>
                <c:formatCode>0%</c:formatCode>
                <c:ptCount val="6"/>
                <c:pt idx="0">
                  <c:v>0.68</c:v>
                </c:pt>
                <c:pt idx="1">
                  <c:v>0.68</c:v>
                </c:pt>
                <c:pt idx="2">
                  <c:v>0.68</c:v>
                </c:pt>
                <c:pt idx="3">
                  <c:v>0.62</c:v>
                </c:pt>
                <c:pt idx="4">
                  <c:v>0.62</c:v>
                </c:pt>
                <c:pt idx="5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F-453C-98AE-600548149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75648"/>
        <c:axId val="157287168"/>
      </c:lineChart>
      <c:catAx>
        <c:axId val="15727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7168"/>
        <c:crosses val="autoZero"/>
        <c:auto val="1"/>
        <c:lblAlgn val="ctr"/>
        <c:lblOffset val="100"/>
        <c:noMultiLvlLbl val="0"/>
      </c:catAx>
      <c:valAx>
        <c:axId val="1572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7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Pelaporan nilai kritis laboratorium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2026'!$D$25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2026'!$E$24:$J$24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2026'!$E$25:$J$25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C-4898-81D6-FB1F7DF2669E}"/>
            </c:ext>
          </c:extLst>
        </c:ser>
        <c:ser>
          <c:idx val="1"/>
          <c:order val="1"/>
          <c:tx>
            <c:strRef>
              <c:f>'Grafik TW 2 2026'!$D$26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2026'!$E$24:$J$24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2026'!$E$26:$J$26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C-4898-81D6-FB1F7DF2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17776"/>
        <c:axId val="155415376"/>
      </c:lineChart>
      <c:catAx>
        <c:axId val="15541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5376"/>
        <c:crosses val="autoZero"/>
        <c:auto val="1"/>
        <c:lblAlgn val="ctr"/>
        <c:lblOffset val="100"/>
        <c:noMultiLvlLbl val="0"/>
      </c:catAx>
      <c:valAx>
        <c:axId val="1554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7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Penggunaan Formularium nasional Tahun</a:t>
            </a:r>
            <a:r>
              <a:rPr lang="en-ID" baseline="0"/>
              <a:t> 2026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2026'!$D$28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2026'!$E$27:$J$27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2026'!$E$28:$J$28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B-4A66-9D23-05113B416F5A}"/>
            </c:ext>
          </c:extLst>
        </c:ser>
        <c:ser>
          <c:idx val="1"/>
          <c:order val="1"/>
          <c:tx>
            <c:strRef>
              <c:f>'Grafik TW 2 2026'!$D$29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2026'!$E$27:$J$27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2026'!$E$29:$J$29</c:f>
              <c:numCache>
                <c:formatCode>0%</c:formatCode>
                <c:ptCount val="6"/>
                <c:pt idx="0">
                  <c:v>0.94</c:v>
                </c:pt>
                <c:pt idx="1">
                  <c:v>0.95</c:v>
                </c:pt>
                <c:pt idx="2">
                  <c:v>0.94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B-4A66-9D23-05113B41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27152"/>
        <c:axId val="69130032"/>
      </c:lineChart>
      <c:catAx>
        <c:axId val="691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0032"/>
        <c:crosses val="autoZero"/>
        <c:auto val="1"/>
        <c:lblAlgn val="ctr"/>
        <c:lblOffset val="100"/>
        <c:noMultiLvlLbl val="0"/>
      </c:catAx>
      <c:valAx>
        <c:axId val="691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7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Terhadap alur Clinical Pathway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2026'!$D$31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2026'!$E$30:$J$30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2026'!$E$31:$J$31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9-43BE-9EB3-0EE9F453743C}"/>
            </c:ext>
          </c:extLst>
        </c:ser>
        <c:ser>
          <c:idx val="1"/>
          <c:order val="1"/>
          <c:tx>
            <c:strRef>
              <c:f>'Grafik TW 2 2026'!$D$32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2026'!$E$30:$J$30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2026'!$E$32:$J$32</c:f>
              <c:numCache>
                <c:formatCode>0%</c:formatCode>
                <c:ptCount val="6"/>
                <c:pt idx="0">
                  <c:v>0.96</c:v>
                </c:pt>
                <c:pt idx="1">
                  <c:v>0.96</c:v>
                </c:pt>
                <c:pt idx="2">
                  <c:v>1</c:v>
                </c:pt>
                <c:pt idx="3">
                  <c:v>1</c:v>
                </c:pt>
                <c:pt idx="4">
                  <c:v>0.96</c:v>
                </c:pt>
                <c:pt idx="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9-43BE-9EB3-0EE9F4537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12976"/>
        <c:axId val="155413456"/>
      </c:lineChart>
      <c:catAx>
        <c:axId val="1554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3456"/>
        <c:crosses val="autoZero"/>
        <c:auto val="1"/>
        <c:lblAlgn val="ctr"/>
        <c:lblOffset val="100"/>
        <c:noMultiLvlLbl val="0"/>
      </c:catAx>
      <c:valAx>
        <c:axId val="1554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2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Upaya Pencegahan Risiko jatuh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2026'!$D$34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2026'!$E$33:$J$33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2026'!$E$34:$J$34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8-43D4-BB0A-07CA55931441}"/>
            </c:ext>
          </c:extLst>
        </c:ser>
        <c:ser>
          <c:idx val="1"/>
          <c:order val="1"/>
          <c:tx>
            <c:strRef>
              <c:f>'Grafik TW 2 2026'!$D$35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2026'!$E$33:$J$33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2026'!$E$35:$J$35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8-43D4-BB0A-07CA55931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481248"/>
        <c:axId val="267481728"/>
      </c:lineChart>
      <c:catAx>
        <c:axId val="26748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81728"/>
        <c:crosses val="autoZero"/>
        <c:auto val="1"/>
        <c:lblAlgn val="ctr"/>
        <c:lblOffset val="100"/>
        <c:noMultiLvlLbl val="0"/>
      </c:catAx>
      <c:valAx>
        <c:axId val="26748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81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Kecepatan respon Terhadap Komplain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2026'!$D$40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2026'!$E$39:$J$39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2026'!$E$40:$J$40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8-437C-9F8A-B7D49250EDCC}"/>
            </c:ext>
          </c:extLst>
        </c:ser>
        <c:ser>
          <c:idx val="1"/>
          <c:order val="1"/>
          <c:tx>
            <c:strRef>
              <c:f>'Grafik TW 2 2026'!$D$41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2026'!$E$39:$J$39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2026'!$E$41:$J$41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8-437C-9F8A-B7D49250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59904"/>
        <c:axId val="227757504"/>
      </c:lineChart>
      <c:catAx>
        <c:axId val="22775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57504"/>
        <c:crosses val="autoZero"/>
        <c:auto val="1"/>
        <c:lblAlgn val="ctr"/>
        <c:lblOffset val="100"/>
        <c:noMultiLvlLbl val="0"/>
      </c:catAx>
      <c:valAx>
        <c:axId val="2277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59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Kepuasan Pasien dan Keluarga Semester 1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'Grafik TW 2 2026'!$D$37:$D$38</c:f>
              <c:strCache>
                <c:ptCount val="2"/>
                <c:pt idx="0">
                  <c:v>Standar</c:v>
                </c:pt>
                <c:pt idx="1">
                  <c:v>Capaian</c:v>
                </c:pt>
              </c:strCache>
            </c:strRef>
          </c:cat>
          <c:val>
            <c:numRef>
              <c:f>'Grafik TW 2 2026'!$F$37:$F$38</c:f>
              <c:numCache>
                <c:formatCode>General</c:formatCode>
                <c:ptCount val="2"/>
                <c:pt idx="0">
                  <c:v>76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B-4FEE-A9E8-5769933AD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68505184"/>
        <c:axId val="2068506144"/>
        <c:axId val="0"/>
      </c:bar3DChart>
      <c:catAx>
        <c:axId val="20685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06144"/>
        <c:crosses val="autoZero"/>
        <c:auto val="1"/>
        <c:lblAlgn val="ctr"/>
        <c:lblOffset val="100"/>
        <c:noMultiLvlLbl val="0"/>
      </c:catAx>
      <c:valAx>
        <c:axId val="20685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05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Kepatuhan Penggunaan Formularium nasional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2026'!$D$28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2026'!$E$27:$J$27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2026'!$E$28:$J$28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D-417B-98AB-2D16027C1D8B}"/>
            </c:ext>
          </c:extLst>
        </c:ser>
        <c:ser>
          <c:idx val="1"/>
          <c:order val="1"/>
          <c:tx>
            <c:strRef>
              <c:f>'Grafik TW 2 2026'!$D$29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2026'!$E$27:$J$27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Mei </c:v>
                </c:pt>
                <c:pt idx="5">
                  <c:v>Juni</c:v>
                </c:pt>
              </c:strCache>
            </c:strRef>
          </c:cat>
          <c:val>
            <c:numRef>
              <c:f>'Grafik TW 2 2026'!$E$29:$J$29</c:f>
              <c:numCache>
                <c:formatCode>0%</c:formatCode>
                <c:ptCount val="6"/>
                <c:pt idx="0">
                  <c:v>0.94</c:v>
                </c:pt>
                <c:pt idx="1">
                  <c:v>0.95</c:v>
                </c:pt>
                <c:pt idx="2">
                  <c:v>0.94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D-417B-98AB-2D16027C1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302240"/>
        <c:axId val="554300800"/>
      </c:lineChart>
      <c:catAx>
        <c:axId val="55430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0800"/>
        <c:crosses val="autoZero"/>
        <c:auto val="1"/>
        <c:lblAlgn val="ctr"/>
        <c:lblOffset val="100"/>
        <c:noMultiLvlLbl val="0"/>
      </c:catAx>
      <c:valAx>
        <c:axId val="5543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2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Kepuasan Pasien dan Keluarga</a:t>
            </a:r>
          </a:p>
        </c:rich>
      </c:tx>
      <c:layout>
        <c:manualLayout>
          <c:xMode val="edge"/>
          <c:yMode val="edge"/>
          <c:x val="0.267826334208224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'Grafik TW 2 2026'!$D$37</c:f>
              <c:strCache>
                <c:ptCount val="1"/>
                <c:pt idx="0">
                  <c:v>Standar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'Grafik TW 2 2026'!$E$36:$F$36</c:f>
              <c:strCache>
                <c:ptCount val="2"/>
                <c:pt idx="0">
                  <c:v>2025</c:v>
                </c:pt>
                <c:pt idx="1">
                  <c:v>SEMESTER 1 2026</c:v>
                </c:pt>
              </c:strCache>
            </c:strRef>
          </c:cat>
          <c:val>
            <c:numRef>
              <c:f>'Grafik TW 2 2026'!$E$37:$F$37</c:f>
              <c:numCache>
                <c:formatCode>General</c:formatCode>
                <c:ptCount val="2"/>
                <c:pt idx="0">
                  <c:v>76</c:v>
                </c:pt>
                <c:pt idx="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C-494A-9466-7C86A1E581BC}"/>
            </c:ext>
          </c:extLst>
        </c:ser>
        <c:ser>
          <c:idx val="1"/>
          <c:order val="1"/>
          <c:tx>
            <c:strRef>
              <c:f>'Grafik TW 2 2026'!$D$38</c:f>
              <c:strCache>
                <c:ptCount val="1"/>
                <c:pt idx="0">
                  <c:v>Capaian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'Grafik TW 2 2026'!$E$36:$F$36</c:f>
              <c:strCache>
                <c:ptCount val="2"/>
                <c:pt idx="0">
                  <c:v>2025</c:v>
                </c:pt>
                <c:pt idx="1">
                  <c:v>SEMESTER 1 2026</c:v>
                </c:pt>
              </c:strCache>
            </c:strRef>
          </c:cat>
          <c:val>
            <c:numRef>
              <c:f>'Grafik TW 2 2026'!$E$38:$F$38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C-494A-9466-7C86A1E58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362736"/>
        <c:axId val="586363216"/>
      </c:lineChart>
      <c:catAx>
        <c:axId val="5863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63216"/>
        <c:crosses val="autoZero"/>
        <c:auto val="1"/>
        <c:lblAlgn val="ctr"/>
        <c:lblOffset val="100"/>
        <c:noMultiLvlLbl val="0"/>
      </c:catAx>
      <c:valAx>
        <c:axId val="5863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62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3</xdr:row>
      <xdr:rowOff>133350</xdr:rowOff>
    </xdr:from>
    <xdr:to>
      <xdr:col>16</xdr:col>
      <xdr:colOff>480060</xdr:colOff>
      <xdr:row>19</xdr:row>
      <xdr:rowOff>72390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C47C954-127A-8432-762F-9F4914F45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312420</xdr:colOff>
      <xdr:row>18</xdr:row>
      <xdr:rowOff>163830</xdr:rowOff>
    </xdr:from>
    <xdr:to>
      <xdr:col>24</xdr:col>
      <xdr:colOff>129540</xdr:colOff>
      <xdr:row>34</xdr:row>
      <xdr:rowOff>102870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815B71-FBFE-260C-4A32-275B8A699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0</xdr:row>
      <xdr:rowOff>171450</xdr:rowOff>
    </xdr:from>
    <xdr:to>
      <xdr:col>24</xdr:col>
      <xdr:colOff>411480</xdr:colOff>
      <xdr:row>16</xdr:row>
      <xdr:rowOff>125730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AE5CDFC-0E7E-B27E-9FCE-A08835CFB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533400</xdr:colOff>
      <xdr:row>1</xdr:row>
      <xdr:rowOff>80010</xdr:rowOff>
    </xdr:from>
    <xdr:to>
      <xdr:col>26</xdr:col>
      <xdr:colOff>350520</xdr:colOff>
      <xdr:row>17</xdr:row>
      <xdr:rowOff>34290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34D31F-C4C9-4689-8ADA-CBA2A05BB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76200</xdr:colOff>
      <xdr:row>1</xdr:row>
      <xdr:rowOff>87630</xdr:rowOff>
    </xdr:from>
    <xdr:to>
      <xdr:col>16</xdr:col>
      <xdr:colOff>259080</xdr:colOff>
      <xdr:row>17</xdr:row>
      <xdr:rowOff>41910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BB0CF87-06E0-39D4-F45F-5BC9CB45D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129540</xdr:colOff>
      <xdr:row>4</xdr:row>
      <xdr:rowOff>91440</xdr:rowOff>
    </xdr:from>
    <xdr:to>
      <xdr:col>25</xdr:col>
      <xdr:colOff>541020</xdr:colOff>
      <xdr:row>20</xdr:row>
      <xdr:rowOff>30480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069FF8C-B1D6-8241-9072-E5D33A0D5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228600</xdr:colOff>
      <xdr:row>7</xdr:row>
      <xdr:rowOff>72390</xdr:rowOff>
    </xdr:from>
    <xdr:to>
      <xdr:col>26</xdr:col>
      <xdr:colOff>640080</xdr:colOff>
      <xdr:row>23</xdr:row>
      <xdr:rowOff>11430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5D959E8-EA92-3AD7-C3F2-87789ADC3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586740</xdr:colOff>
      <xdr:row>25</xdr:row>
      <xdr:rowOff>19050</xdr:rowOff>
    </xdr:from>
    <xdr:to>
      <xdr:col>24</xdr:col>
      <xdr:colOff>403860</xdr:colOff>
      <xdr:row>40</xdr:row>
      <xdr:rowOff>133350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73B54B-E42D-B9FD-A88F-12D57E7AE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411480</xdr:colOff>
      <xdr:row>31</xdr:row>
      <xdr:rowOff>110490</xdr:rowOff>
    </xdr:from>
    <xdr:to>
      <xdr:col>25</xdr:col>
      <xdr:colOff>228600</xdr:colOff>
      <xdr:row>47</xdr:row>
      <xdr:rowOff>49530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B072BF6-0582-4329-4C84-46ECD1285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45720</xdr:colOff>
      <xdr:row>27</xdr:row>
      <xdr:rowOff>133350</xdr:rowOff>
    </xdr:from>
    <xdr:to>
      <xdr:col>24</xdr:col>
      <xdr:colOff>457200</xdr:colOff>
      <xdr:row>43</xdr:row>
      <xdr:rowOff>72390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AF5A149-03EC-68C2-42B0-926A06D9A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38100</xdr:colOff>
      <xdr:row>9</xdr:row>
      <xdr:rowOff>11430</xdr:rowOff>
    </xdr:from>
    <xdr:to>
      <xdr:col>26</xdr:col>
      <xdr:colOff>449580</xdr:colOff>
      <xdr:row>24</xdr:row>
      <xdr:rowOff>125730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2C0FF6-9A5F-9F3A-32F2-70507B345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274320</xdr:colOff>
      <xdr:row>16</xdr:row>
      <xdr:rowOff>64770</xdr:rowOff>
    </xdr:from>
    <xdr:to>
      <xdr:col>27</xdr:col>
      <xdr:colOff>289560</xdr:colOff>
      <xdr:row>32</xdr:row>
      <xdr:rowOff>3810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9BA8B3A-303C-1A2F-E3B7-7BA582C7F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137160</xdr:colOff>
      <xdr:row>43</xdr:row>
      <xdr:rowOff>11430</xdr:rowOff>
    </xdr:from>
    <xdr:to>
      <xdr:col>14</xdr:col>
      <xdr:colOff>182880</xdr:colOff>
      <xdr:row>58</xdr:row>
      <xdr:rowOff>125730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D318767-5319-DE68-B30A-49C84E072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312420</xdr:colOff>
      <xdr:row>7</xdr:row>
      <xdr:rowOff>49530</xdr:rowOff>
    </xdr:from>
    <xdr:to>
      <xdr:col>22</xdr:col>
      <xdr:colOff>152400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6DB4C-E765-37C2-931D-DE545524E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762000</xdr:colOff>
      <xdr:row>23</xdr:row>
      <xdr:rowOff>19050</xdr:rowOff>
    </xdr:from>
    <xdr:to>
      <xdr:col>16</xdr:col>
      <xdr:colOff>304800</xdr:colOff>
      <xdr:row>38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AC195A-D9B0-3E4B-F2FE-7C8CDD8A5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34C2-DD92-4AAA-BC61-F3489C7BE370}">
  <dimension ref="A1:Z1000"/>
  <sheetViews>
    <sheetView tabSelected="1" topLeftCell="A15" workbookViewId="0">
      <selection activeCell="Q44" sqref="Q44"/>
    </sheetView>
  </sheetViews>
  <sheetFormatPr defaultColWidth="14.44140625" defaultRowHeight="15" customHeight="1"/>
  <cols>
    <col min="1" max="1" width="8.6640625" customWidth="1"/>
    <col min="2" max="2" width="4.6640625" customWidth="1"/>
    <col min="3" max="3" width="32.21875" customWidth="1"/>
    <col min="4" max="4" width="7.6640625" customWidth="1"/>
    <col min="5" max="5" width="5.6640625" customWidth="1"/>
    <col min="6" max="6" width="16.6640625" customWidth="1"/>
    <col min="7" max="16" width="5.6640625" customWidth="1"/>
    <col min="17" max="26" width="8.6640625" customWidth="1"/>
  </cols>
  <sheetData>
    <row r="1" spans="1:26" ht="14.25" customHeight="1"/>
    <row r="2" spans="1:26" ht="14.25" customHeight="1"/>
    <row r="3" spans="1:26" ht="12.75" customHeight="1">
      <c r="B3" s="7" t="s">
        <v>22</v>
      </c>
      <c r="C3" s="9"/>
      <c r="D3" s="1"/>
      <c r="E3" s="10" t="s">
        <v>0</v>
      </c>
      <c r="F3" s="11" t="s">
        <v>25</v>
      </c>
      <c r="G3" s="11" t="s">
        <v>21</v>
      </c>
      <c r="H3" s="11" t="s">
        <v>2</v>
      </c>
      <c r="I3" s="11" t="s">
        <v>27</v>
      </c>
      <c r="J3" s="11" t="s">
        <v>4</v>
      </c>
      <c r="K3" s="11" t="s">
        <v>5</v>
      </c>
      <c r="L3" s="11" t="s">
        <v>28</v>
      </c>
      <c r="M3" s="11" t="s">
        <v>6</v>
      </c>
      <c r="N3" s="11" t="s">
        <v>7</v>
      </c>
      <c r="O3" s="11" t="s">
        <v>8</v>
      </c>
      <c r="P3" s="11" t="s">
        <v>9</v>
      </c>
    </row>
    <row r="4" spans="1:26" ht="14.25" customHeight="1">
      <c r="B4" s="7"/>
      <c r="C4" s="9"/>
      <c r="D4" s="1" t="s">
        <v>24</v>
      </c>
      <c r="E4" s="8">
        <v>0.85</v>
      </c>
      <c r="F4" s="8">
        <v>0.85</v>
      </c>
      <c r="G4" s="8">
        <v>0.85</v>
      </c>
      <c r="H4" s="8">
        <v>0.85</v>
      </c>
      <c r="I4" s="8">
        <v>0.85</v>
      </c>
      <c r="J4" s="8">
        <v>0.85</v>
      </c>
      <c r="K4" s="8">
        <v>0.85</v>
      </c>
      <c r="L4" s="8">
        <v>0.85</v>
      </c>
      <c r="M4" s="8">
        <v>0.85</v>
      </c>
      <c r="N4" s="8">
        <v>0.85</v>
      </c>
      <c r="O4" s="8">
        <v>0.85</v>
      </c>
      <c r="P4" s="8">
        <v>0.85</v>
      </c>
    </row>
    <row r="5" spans="1:26" ht="14.25" customHeight="1">
      <c r="B5" s="6">
        <v>1</v>
      </c>
      <c r="C5" s="2" t="s">
        <v>10</v>
      </c>
      <c r="D5" s="8" t="s">
        <v>34</v>
      </c>
      <c r="E5" s="3">
        <v>0.87</v>
      </c>
      <c r="F5" s="3">
        <v>0.87</v>
      </c>
      <c r="G5" s="3">
        <v>0.86</v>
      </c>
      <c r="H5" s="3">
        <v>0.86</v>
      </c>
      <c r="I5" s="3">
        <v>0.86</v>
      </c>
      <c r="J5" s="4">
        <v>0.85</v>
      </c>
      <c r="K5" s="4"/>
      <c r="L5" s="4"/>
      <c r="M5" s="4"/>
      <c r="N5" s="4"/>
      <c r="O5" s="4"/>
      <c r="P5" s="4"/>
    </row>
    <row r="6" spans="1:26" ht="14.25" customHeight="1">
      <c r="A6" s="5"/>
      <c r="B6" s="6"/>
      <c r="C6" s="2"/>
      <c r="D6" s="8"/>
      <c r="E6" s="10" t="s">
        <v>0</v>
      </c>
      <c r="F6" s="11" t="s">
        <v>25</v>
      </c>
      <c r="G6" s="11" t="s">
        <v>21</v>
      </c>
      <c r="H6" s="11" t="s">
        <v>2</v>
      </c>
      <c r="I6" s="11" t="s">
        <v>27</v>
      </c>
      <c r="J6" s="11" t="s">
        <v>4</v>
      </c>
      <c r="K6" s="11" t="s">
        <v>5</v>
      </c>
      <c r="L6" s="11" t="s">
        <v>28</v>
      </c>
      <c r="M6" s="11" t="s">
        <v>6</v>
      </c>
      <c r="N6" s="11" t="s">
        <v>7</v>
      </c>
      <c r="O6" s="11" t="s">
        <v>8</v>
      </c>
      <c r="P6" s="11" t="s">
        <v>9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B7" s="6"/>
      <c r="C7" s="2"/>
      <c r="D7" s="1" t="s">
        <v>24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</row>
    <row r="8" spans="1:26" ht="14.25" customHeight="1">
      <c r="A8" s="5"/>
      <c r="B8" s="11">
        <v>2</v>
      </c>
      <c r="C8" s="2" t="s">
        <v>11</v>
      </c>
      <c r="D8" s="8" t="s">
        <v>34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/>
      <c r="L8" s="4"/>
      <c r="M8" s="4"/>
      <c r="N8" s="4"/>
      <c r="O8" s="4"/>
      <c r="P8" s="4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B9" s="11"/>
      <c r="C9" s="2"/>
      <c r="D9" s="8"/>
      <c r="E9" s="10" t="s">
        <v>0</v>
      </c>
      <c r="F9" s="11" t="s">
        <v>25</v>
      </c>
      <c r="G9" s="11" t="s">
        <v>21</v>
      </c>
      <c r="H9" s="11" t="s">
        <v>2</v>
      </c>
      <c r="I9" s="11" t="s">
        <v>27</v>
      </c>
      <c r="J9" s="11" t="s">
        <v>4</v>
      </c>
      <c r="K9" s="11" t="s">
        <v>5</v>
      </c>
      <c r="L9" s="11" t="s">
        <v>28</v>
      </c>
      <c r="M9" s="11" t="s">
        <v>6</v>
      </c>
      <c r="N9" s="11" t="s">
        <v>7</v>
      </c>
      <c r="O9" s="11" t="s">
        <v>8</v>
      </c>
      <c r="P9" s="11" t="s">
        <v>9</v>
      </c>
    </row>
    <row r="10" spans="1:26" ht="14.25" customHeight="1">
      <c r="B10" s="11"/>
      <c r="C10" s="2"/>
      <c r="D10" s="1" t="s">
        <v>24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</row>
    <row r="11" spans="1:26" ht="14.25" customHeight="1">
      <c r="B11" s="6">
        <v>3</v>
      </c>
      <c r="C11" s="2" t="s">
        <v>12</v>
      </c>
      <c r="D11" s="8" t="s">
        <v>34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/>
      <c r="L11" s="4"/>
      <c r="M11" s="4"/>
      <c r="N11" s="4"/>
      <c r="O11" s="4"/>
      <c r="P11" s="4"/>
    </row>
    <row r="12" spans="1:26" ht="14.25" customHeight="1">
      <c r="B12" s="6"/>
      <c r="C12" s="2"/>
      <c r="D12" s="8"/>
      <c r="E12" s="10" t="s">
        <v>0</v>
      </c>
      <c r="F12" s="11" t="s">
        <v>25</v>
      </c>
      <c r="G12" s="11" t="s">
        <v>21</v>
      </c>
      <c r="H12" s="11" t="s">
        <v>2</v>
      </c>
      <c r="I12" s="11" t="s">
        <v>27</v>
      </c>
      <c r="J12" s="11" t="s">
        <v>4</v>
      </c>
      <c r="K12" s="11" t="s">
        <v>5</v>
      </c>
      <c r="L12" s="11" t="s">
        <v>28</v>
      </c>
      <c r="M12" s="11" t="s">
        <v>6</v>
      </c>
      <c r="N12" s="11" t="s">
        <v>7</v>
      </c>
      <c r="O12" s="11" t="s">
        <v>8</v>
      </c>
      <c r="P12" s="11" t="s">
        <v>9</v>
      </c>
    </row>
    <row r="13" spans="1:26" ht="14.25" customHeight="1">
      <c r="B13" s="6"/>
      <c r="C13" s="2"/>
      <c r="D13" s="1" t="s">
        <v>24</v>
      </c>
      <c r="E13" s="12">
        <v>0.8</v>
      </c>
      <c r="F13" s="12">
        <v>0.8</v>
      </c>
      <c r="G13" s="12">
        <v>0.8</v>
      </c>
      <c r="H13" s="12">
        <v>0.8</v>
      </c>
      <c r="I13" s="12">
        <v>0.8</v>
      </c>
      <c r="J13" s="12">
        <v>0.8</v>
      </c>
      <c r="K13" s="12">
        <v>0.8</v>
      </c>
      <c r="L13" s="12">
        <v>0.8</v>
      </c>
      <c r="M13" s="12">
        <v>0.8</v>
      </c>
      <c r="N13" s="12">
        <v>0.8</v>
      </c>
      <c r="O13" s="12">
        <v>0.8</v>
      </c>
      <c r="P13" s="12">
        <v>0.8</v>
      </c>
    </row>
    <row r="14" spans="1:26" ht="14.25" customHeight="1">
      <c r="B14" s="11">
        <v>4</v>
      </c>
      <c r="C14" s="2" t="s">
        <v>13</v>
      </c>
      <c r="D14" s="8" t="s">
        <v>34</v>
      </c>
      <c r="E14" s="4">
        <v>1</v>
      </c>
      <c r="F14" s="4">
        <v>1</v>
      </c>
      <c r="G14" s="4">
        <v>1</v>
      </c>
      <c r="H14" s="3">
        <v>1</v>
      </c>
      <c r="I14" s="3">
        <v>1</v>
      </c>
      <c r="J14" s="4">
        <v>1</v>
      </c>
      <c r="K14" s="4"/>
      <c r="L14" s="4"/>
      <c r="M14" s="4"/>
      <c r="N14" s="4"/>
      <c r="O14" s="4"/>
      <c r="P14" s="4"/>
    </row>
    <row r="15" spans="1:26" ht="14.25" customHeight="1">
      <c r="B15" s="11"/>
      <c r="C15" s="2"/>
      <c r="D15" s="1"/>
      <c r="E15" s="10" t="s">
        <v>0</v>
      </c>
      <c r="F15" s="11" t="s">
        <v>25</v>
      </c>
      <c r="G15" s="11" t="s">
        <v>21</v>
      </c>
      <c r="H15" s="11" t="s">
        <v>2</v>
      </c>
      <c r="I15" s="11" t="s">
        <v>27</v>
      </c>
      <c r="J15" s="11" t="s">
        <v>4</v>
      </c>
      <c r="K15" s="11" t="s">
        <v>5</v>
      </c>
      <c r="L15" s="11" t="s">
        <v>28</v>
      </c>
      <c r="M15" s="11" t="s">
        <v>6</v>
      </c>
      <c r="N15" s="11" t="s">
        <v>7</v>
      </c>
      <c r="O15" s="11" t="s">
        <v>8</v>
      </c>
      <c r="P15" s="11" t="s">
        <v>9</v>
      </c>
    </row>
    <row r="16" spans="1:26" ht="14.25" customHeight="1">
      <c r="B16" s="11"/>
      <c r="C16" s="2"/>
      <c r="D16" s="1" t="s">
        <v>24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</row>
    <row r="17" spans="2:16" ht="14.25" customHeight="1">
      <c r="B17" s="6">
        <v>5</v>
      </c>
      <c r="C17" s="2" t="s">
        <v>14</v>
      </c>
      <c r="D17" s="8" t="s">
        <v>34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4">
        <v>1</v>
      </c>
      <c r="K17" s="4"/>
      <c r="L17" s="4"/>
      <c r="M17" s="4"/>
      <c r="N17" s="4"/>
      <c r="O17" s="4"/>
      <c r="P17" s="4"/>
    </row>
    <row r="18" spans="2:16" ht="14.25" customHeight="1">
      <c r="B18" s="6"/>
      <c r="C18" s="2"/>
      <c r="D18" s="1"/>
      <c r="E18" s="10" t="s">
        <v>0</v>
      </c>
      <c r="F18" s="11" t="s">
        <v>25</v>
      </c>
      <c r="G18" s="11" t="s">
        <v>21</v>
      </c>
      <c r="H18" s="11" t="s">
        <v>2</v>
      </c>
      <c r="I18" s="11" t="s">
        <v>27</v>
      </c>
      <c r="J18" s="11" t="s">
        <v>4</v>
      </c>
      <c r="K18" s="11" t="s">
        <v>5</v>
      </c>
      <c r="L18" s="11" t="s">
        <v>28</v>
      </c>
      <c r="M18" s="11" t="s">
        <v>6</v>
      </c>
      <c r="N18" s="11" t="s">
        <v>7</v>
      </c>
      <c r="O18" s="11" t="s">
        <v>8</v>
      </c>
      <c r="P18" s="11" t="s">
        <v>9</v>
      </c>
    </row>
    <row r="19" spans="2:16" ht="14.25" customHeight="1">
      <c r="B19" s="6"/>
      <c r="C19" s="2"/>
      <c r="D19" s="1" t="s">
        <v>24</v>
      </c>
      <c r="E19" s="4">
        <v>0.05</v>
      </c>
      <c r="F19" s="4">
        <v>0.05</v>
      </c>
      <c r="G19" s="4">
        <v>0.05</v>
      </c>
      <c r="H19" s="4">
        <v>0.05</v>
      </c>
      <c r="I19" s="4">
        <v>0.05</v>
      </c>
      <c r="J19" s="4">
        <v>0.05</v>
      </c>
      <c r="K19" s="4">
        <v>0.05</v>
      </c>
      <c r="L19" s="4">
        <v>0.05</v>
      </c>
      <c r="M19" s="4">
        <v>0.05</v>
      </c>
      <c r="N19" s="4">
        <v>0.05</v>
      </c>
      <c r="O19" s="4">
        <v>0.05</v>
      </c>
      <c r="P19" s="4">
        <v>0.05</v>
      </c>
    </row>
    <row r="20" spans="2:16" ht="14.25" customHeight="1">
      <c r="B20" s="6">
        <v>6</v>
      </c>
      <c r="C20" s="2" t="s">
        <v>15</v>
      </c>
      <c r="D20" s="8" t="s">
        <v>34</v>
      </c>
      <c r="E20" s="3">
        <v>0.01</v>
      </c>
      <c r="F20" s="3">
        <v>0.01</v>
      </c>
      <c r="G20" s="3">
        <v>0.01</v>
      </c>
      <c r="H20" s="3">
        <v>0.02</v>
      </c>
      <c r="I20" s="3">
        <v>0.01</v>
      </c>
      <c r="J20" s="4">
        <v>0.01</v>
      </c>
      <c r="K20" s="4"/>
      <c r="L20" s="4"/>
      <c r="M20" s="4"/>
      <c r="N20" s="4"/>
      <c r="O20" s="4"/>
      <c r="P20" s="4"/>
    </row>
    <row r="21" spans="2:16" ht="14.25" customHeight="1">
      <c r="B21" s="6"/>
      <c r="C21" s="2"/>
      <c r="D21" s="1"/>
      <c r="E21" s="10" t="s">
        <v>0</v>
      </c>
      <c r="F21" s="11" t="s">
        <v>25</v>
      </c>
      <c r="G21" s="11" t="s">
        <v>21</v>
      </c>
      <c r="H21" s="11" t="s">
        <v>2</v>
      </c>
      <c r="I21" s="11" t="s">
        <v>27</v>
      </c>
      <c r="J21" s="11" t="s">
        <v>4</v>
      </c>
      <c r="K21" s="11" t="s">
        <v>5</v>
      </c>
      <c r="L21" s="11" t="s">
        <v>28</v>
      </c>
      <c r="M21" s="11" t="s">
        <v>6</v>
      </c>
      <c r="N21" s="11" t="s">
        <v>7</v>
      </c>
      <c r="O21" s="11" t="s">
        <v>8</v>
      </c>
      <c r="P21" s="11" t="s">
        <v>9</v>
      </c>
    </row>
    <row r="22" spans="2:16" ht="14.25" customHeight="1">
      <c r="B22" s="6"/>
      <c r="C22" s="2"/>
      <c r="D22" s="1" t="s">
        <v>24</v>
      </c>
      <c r="E22" s="12">
        <v>0.8</v>
      </c>
      <c r="F22" s="12">
        <v>0.8</v>
      </c>
      <c r="G22" s="12">
        <v>0.8</v>
      </c>
      <c r="H22" s="12">
        <v>0.8</v>
      </c>
      <c r="I22" s="12">
        <v>0.8</v>
      </c>
      <c r="J22" s="12">
        <v>0.8</v>
      </c>
      <c r="K22" s="12">
        <v>0.8</v>
      </c>
      <c r="L22" s="12">
        <v>0.8</v>
      </c>
      <c r="M22" s="12">
        <v>0.8</v>
      </c>
      <c r="N22" s="12">
        <v>0.8</v>
      </c>
      <c r="O22" s="12">
        <v>0.8</v>
      </c>
      <c r="P22" s="12">
        <v>0.8</v>
      </c>
    </row>
    <row r="23" spans="2:16" ht="14.25" customHeight="1">
      <c r="B23" s="6">
        <v>7</v>
      </c>
      <c r="C23" s="2" t="s">
        <v>16</v>
      </c>
      <c r="D23" s="8" t="s">
        <v>34</v>
      </c>
      <c r="E23" s="3">
        <v>0.68</v>
      </c>
      <c r="F23" s="3">
        <v>0.68</v>
      </c>
      <c r="G23" s="3">
        <v>0.68</v>
      </c>
      <c r="H23" s="3">
        <v>0.62</v>
      </c>
      <c r="I23" s="3">
        <v>0.62</v>
      </c>
      <c r="J23" s="4">
        <v>0.62</v>
      </c>
      <c r="K23" s="4"/>
      <c r="L23" s="4"/>
      <c r="M23" s="4"/>
      <c r="N23" s="4"/>
      <c r="O23" s="4"/>
      <c r="P23" s="4"/>
    </row>
    <row r="24" spans="2:16" ht="14.25" customHeight="1">
      <c r="B24" s="6"/>
      <c r="C24" s="2"/>
      <c r="D24" s="1"/>
      <c r="E24" s="10" t="s">
        <v>0</v>
      </c>
      <c r="F24" s="11" t="s">
        <v>25</v>
      </c>
      <c r="G24" s="11" t="s">
        <v>21</v>
      </c>
      <c r="H24" s="11" t="s">
        <v>2</v>
      </c>
      <c r="I24" s="11" t="s">
        <v>27</v>
      </c>
      <c r="J24" s="11" t="s">
        <v>4</v>
      </c>
      <c r="K24" s="11" t="s">
        <v>5</v>
      </c>
      <c r="L24" s="11" t="s">
        <v>28</v>
      </c>
      <c r="M24" s="11" t="s">
        <v>6</v>
      </c>
      <c r="N24" s="11" t="s">
        <v>7</v>
      </c>
      <c r="O24" s="11" t="s">
        <v>8</v>
      </c>
      <c r="P24" s="11" t="s">
        <v>9</v>
      </c>
    </row>
    <row r="25" spans="2:16" ht="14.25" customHeight="1">
      <c r="B25" s="6"/>
      <c r="C25" s="2"/>
      <c r="D25" s="1" t="s">
        <v>24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</row>
    <row r="26" spans="2:16" ht="14.25" customHeight="1">
      <c r="B26" s="6">
        <v>8</v>
      </c>
      <c r="C26" s="2" t="s">
        <v>17</v>
      </c>
      <c r="D26" s="8" t="s">
        <v>34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/>
      <c r="L26" s="4"/>
      <c r="M26" s="4"/>
      <c r="N26" s="4"/>
      <c r="O26" s="4"/>
      <c r="P26" s="4"/>
    </row>
    <row r="27" spans="2:16" ht="14.25" customHeight="1">
      <c r="B27" s="6"/>
      <c r="C27" s="2"/>
      <c r="D27" s="8"/>
      <c r="E27" s="10" t="s">
        <v>0</v>
      </c>
      <c r="F27" s="11" t="s">
        <v>25</v>
      </c>
      <c r="G27" s="11" t="s">
        <v>21</v>
      </c>
      <c r="H27" s="11" t="s">
        <v>2</v>
      </c>
      <c r="I27" s="11" t="s">
        <v>27</v>
      </c>
      <c r="J27" s="11" t="s">
        <v>4</v>
      </c>
      <c r="K27" s="11" t="s">
        <v>5</v>
      </c>
      <c r="L27" s="11" t="s">
        <v>28</v>
      </c>
      <c r="M27" s="11" t="s">
        <v>6</v>
      </c>
      <c r="N27" s="11" t="s">
        <v>7</v>
      </c>
      <c r="O27" s="11" t="s">
        <v>8</v>
      </c>
      <c r="P27" s="11" t="s">
        <v>9</v>
      </c>
    </row>
    <row r="28" spans="2:16" ht="14.25" customHeight="1">
      <c r="B28" s="6"/>
      <c r="C28" s="2"/>
      <c r="D28" s="1" t="s">
        <v>24</v>
      </c>
      <c r="E28" s="12">
        <v>0.8</v>
      </c>
      <c r="F28" s="12">
        <v>0.8</v>
      </c>
      <c r="G28" s="12">
        <v>0.8</v>
      </c>
      <c r="H28" s="12">
        <v>0.8</v>
      </c>
      <c r="I28" s="12">
        <v>0.8</v>
      </c>
      <c r="J28" s="12">
        <v>0.8</v>
      </c>
      <c r="K28" s="12">
        <v>0.8</v>
      </c>
      <c r="L28" s="12">
        <v>0.8</v>
      </c>
      <c r="M28" s="12">
        <v>0.8</v>
      </c>
      <c r="N28" s="12">
        <v>0.8</v>
      </c>
      <c r="O28" s="12">
        <v>0.8</v>
      </c>
      <c r="P28" s="12">
        <v>0.8</v>
      </c>
    </row>
    <row r="29" spans="2:16" ht="14.25" customHeight="1">
      <c r="B29" s="6">
        <v>9</v>
      </c>
      <c r="C29" s="2" t="s">
        <v>18</v>
      </c>
      <c r="D29" s="8" t="s">
        <v>34</v>
      </c>
      <c r="E29" s="4">
        <v>0.94</v>
      </c>
      <c r="F29" s="3">
        <v>0.95</v>
      </c>
      <c r="G29" s="3">
        <v>0.94</v>
      </c>
      <c r="H29" s="3">
        <v>0.92</v>
      </c>
      <c r="I29" s="3">
        <v>0.92</v>
      </c>
      <c r="J29" s="4">
        <v>0.92</v>
      </c>
      <c r="K29" s="4"/>
      <c r="L29" s="4"/>
      <c r="M29" s="4"/>
      <c r="N29" s="4"/>
      <c r="O29" s="4"/>
      <c r="P29" s="4"/>
    </row>
    <row r="30" spans="2:16" ht="14.25" customHeight="1">
      <c r="B30" s="6"/>
      <c r="C30" s="2"/>
      <c r="D30" s="1"/>
      <c r="E30" s="10" t="s">
        <v>0</v>
      </c>
      <c r="F30" s="11" t="s">
        <v>25</v>
      </c>
      <c r="G30" s="11" t="s">
        <v>21</v>
      </c>
      <c r="H30" s="11" t="s">
        <v>2</v>
      </c>
      <c r="I30" s="11" t="s">
        <v>27</v>
      </c>
      <c r="J30" s="11" t="s">
        <v>4</v>
      </c>
      <c r="K30" s="11" t="s">
        <v>5</v>
      </c>
      <c r="L30" s="11" t="s">
        <v>28</v>
      </c>
      <c r="M30" s="11" t="s">
        <v>6</v>
      </c>
      <c r="N30" s="11" t="s">
        <v>7</v>
      </c>
      <c r="O30" s="11" t="s">
        <v>8</v>
      </c>
      <c r="P30" s="11" t="s">
        <v>9</v>
      </c>
    </row>
    <row r="31" spans="2:16" ht="14.25" customHeight="1">
      <c r="B31" s="6"/>
      <c r="C31" s="2"/>
      <c r="D31" s="1" t="s">
        <v>24</v>
      </c>
      <c r="E31" s="12">
        <v>0.8</v>
      </c>
      <c r="F31" s="12">
        <v>0.8</v>
      </c>
      <c r="G31" s="12">
        <v>0.8</v>
      </c>
      <c r="H31" s="12">
        <v>0.8</v>
      </c>
      <c r="I31" s="12">
        <v>0.8</v>
      </c>
      <c r="J31" s="12">
        <v>0.8</v>
      </c>
      <c r="K31" s="12">
        <v>0.8</v>
      </c>
      <c r="L31" s="12">
        <v>0.8</v>
      </c>
      <c r="M31" s="12">
        <v>0.8</v>
      </c>
      <c r="N31" s="12">
        <v>0.8</v>
      </c>
      <c r="O31" s="12">
        <v>0.8</v>
      </c>
      <c r="P31" s="12">
        <v>0.8</v>
      </c>
    </row>
    <row r="32" spans="2:16" ht="14.25" customHeight="1">
      <c r="B32" s="6">
        <v>10</v>
      </c>
      <c r="C32" s="2" t="s">
        <v>31</v>
      </c>
      <c r="D32" s="8" t="s">
        <v>34</v>
      </c>
      <c r="E32" s="3">
        <v>0.96</v>
      </c>
      <c r="F32" s="3">
        <v>0.96</v>
      </c>
      <c r="G32" s="3">
        <v>1</v>
      </c>
      <c r="H32" s="3">
        <v>1</v>
      </c>
      <c r="I32" s="3">
        <v>0.96</v>
      </c>
      <c r="J32" s="4">
        <v>0.92</v>
      </c>
      <c r="K32" s="4"/>
      <c r="L32" s="4"/>
      <c r="M32" s="4"/>
      <c r="N32" s="4"/>
      <c r="O32" s="4"/>
      <c r="P32" s="4"/>
    </row>
    <row r="33" spans="2:16" ht="14.25" customHeight="1">
      <c r="B33" s="6"/>
      <c r="C33" s="2"/>
      <c r="D33" s="1"/>
      <c r="E33" s="10" t="s">
        <v>0</v>
      </c>
      <c r="F33" s="11" t="s">
        <v>25</v>
      </c>
      <c r="G33" s="11" t="s">
        <v>21</v>
      </c>
      <c r="H33" s="11" t="s">
        <v>2</v>
      </c>
      <c r="I33" s="11" t="s">
        <v>27</v>
      </c>
      <c r="J33" s="11" t="s">
        <v>4</v>
      </c>
      <c r="K33" s="11" t="s">
        <v>5</v>
      </c>
      <c r="L33" s="11" t="s">
        <v>28</v>
      </c>
      <c r="M33" s="11" t="s">
        <v>6</v>
      </c>
      <c r="N33" s="11" t="s">
        <v>7</v>
      </c>
      <c r="O33" s="11" t="s">
        <v>8</v>
      </c>
      <c r="P33" s="11" t="s">
        <v>9</v>
      </c>
    </row>
    <row r="34" spans="2:16" ht="14.25" customHeight="1">
      <c r="B34" s="6"/>
      <c r="C34" s="2"/>
      <c r="D34" s="1" t="s">
        <v>24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</row>
    <row r="35" spans="2:16" ht="14.25" customHeight="1">
      <c r="B35" s="6">
        <v>11</v>
      </c>
      <c r="C35" s="2" t="s">
        <v>19</v>
      </c>
      <c r="D35" s="8" t="s">
        <v>34</v>
      </c>
      <c r="E35" s="37">
        <v>1</v>
      </c>
      <c r="F35" s="37">
        <v>1</v>
      </c>
      <c r="G35" s="3">
        <v>1</v>
      </c>
      <c r="H35" s="3">
        <v>1</v>
      </c>
      <c r="I35" s="3">
        <v>1</v>
      </c>
      <c r="J35" s="4">
        <v>1</v>
      </c>
      <c r="K35" s="4"/>
      <c r="L35" s="4"/>
      <c r="M35" s="4"/>
      <c r="N35" s="4"/>
      <c r="O35" s="4"/>
      <c r="P35" s="4"/>
    </row>
    <row r="36" spans="2:16" ht="14.25" customHeight="1">
      <c r="B36" s="6"/>
      <c r="C36" s="2"/>
      <c r="D36" s="36"/>
      <c r="E36" s="39">
        <v>2025</v>
      </c>
      <c r="F36" s="39" t="s">
        <v>39</v>
      </c>
      <c r="G36" s="13"/>
      <c r="H36" s="13"/>
      <c r="I36" s="13"/>
      <c r="J36" s="14"/>
      <c r="K36" s="12"/>
      <c r="L36" s="13"/>
      <c r="M36" s="13"/>
      <c r="N36" s="13"/>
      <c r="O36" s="13"/>
      <c r="P36" s="14"/>
    </row>
    <row r="37" spans="2:16" ht="14.25" customHeight="1">
      <c r="B37" s="6"/>
      <c r="C37" s="2"/>
      <c r="D37" s="1" t="s">
        <v>24</v>
      </c>
      <c r="E37" s="38">
        <v>76</v>
      </c>
      <c r="F37" s="38">
        <v>76</v>
      </c>
      <c r="G37" s="16"/>
      <c r="I37" s="16"/>
      <c r="J37" s="17"/>
      <c r="K37" s="15"/>
      <c r="L37" s="16"/>
      <c r="M37" s="16"/>
      <c r="N37" s="16"/>
      <c r="O37" s="16"/>
      <c r="P37" s="17"/>
    </row>
    <row r="38" spans="2:16" ht="14.25" customHeight="1">
      <c r="B38" s="6">
        <v>12</v>
      </c>
      <c r="C38" s="2" t="s">
        <v>32</v>
      </c>
      <c r="D38" s="8" t="s">
        <v>34</v>
      </c>
      <c r="E38" s="19">
        <v>85</v>
      </c>
      <c r="F38" s="19">
        <v>85</v>
      </c>
      <c r="G38" s="18"/>
      <c r="H38" s="18"/>
      <c r="I38" s="18"/>
      <c r="K38" s="40"/>
      <c r="L38" s="41"/>
      <c r="M38" s="41"/>
      <c r="N38" s="41"/>
      <c r="O38" s="41"/>
      <c r="P38" s="42"/>
    </row>
    <row r="39" spans="2:16" ht="14.25" customHeight="1">
      <c r="B39" s="6"/>
      <c r="C39" s="2"/>
      <c r="D39" s="1"/>
      <c r="E39" s="10" t="s">
        <v>0</v>
      </c>
      <c r="F39" s="11" t="s">
        <v>25</v>
      </c>
      <c r="G39" s="11" t="s">
        <v>21</v>
      </c>
      <c r="H39" s="11" t="s">
        <v>2</v>
      </c>
      <c r="I39" s="11" t="s">
        <v>27</v>
      </c>
      <c r="J39" s="11" t="s">
        <v>4</v>
      </c>
      <c r="K39" s="11" t="s">
        <v>5</v>
      </c>
      <c r="L39" s="11" t="s">
        <v>28</v>
      </c>
      <c r="M39" s="11" t="s">
        <v>6</v>
      </c>
      <c r="N39" s="11" t="s">
        <v>7</v>
      </c>
      <c r="O39" s="11" t="s">
        <v>8</v>
      </c>
      <c r="P39" s="11" t="s">
        <v>9</v>
      </c>
    </row>
    <row r="40" spans="2:16" ht="14.25" customHeight="1">
      <c r="B40" s="6"/>
      <c r="C40" s="2"/>
      <c r="D40" s="1" t="s">
        <v>24</v>
      </c>
      <c r="E40" s="12">
        <v>0.8</v>
      </c>
      <c r="F40" s="12">
        <v>0.8</v>
      </c>
      <c r="G40" s="12">
        <v>0.8</v>
      </c>
      <c r="H40" s="12">
        <v>0.8</v>
      </c>
      <c r="I40" s="12">
        <v>0.8</v>
      </c>
      <c r="J40" s="12">
        <v>0.8</v>
      </c>
      <c r="K40" s="12">
        <v>0.8</v>
      </c>
      <c r="L40" s="12">
        <v>0.8</v>
      </c>
      <c r="M40" s="12">
        <v>0.8</v>
      </c>
      <c r="N40" s="12">
        <v>0.8</v>
      </c>
      <c r="O40" s="12">
        <v>0.8</v>
      </c>
      <c r="P40" s="12">
        <v>0.8</v>
      </c>
    </row>
    <row r="41" spans="2:16" ht="14.25" customHeight="1">
      <c r="B41" s="6">
        <v>13</v>
      </c>
      <c r="C41" s="2" t="s">
        <v>20</v>
      </c>
      <c r="D41" s="8" t="s">
        <v>34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/>
      <c r="L41" s="4"/>
      <c r="M41" s="4"/>
      <c r="N41" s="4"/>
      <c r="O41" s="4"/>
      <c r="P41" s="4"/>
    </row>
    <row r="42" spans="2:16" ht="14.25" customHeight="1"/>
    <row r="43" spans="2:16" ht="14.25" customHeight="1"/>
    <row r="44" spans="2:16" ht="14.25" customHeight="1"/>
    <row r="45" spans="2:16" ht="14.25" customHeight="1"/>
    <row r="46" spans="2:16" ht="14.25" customHeight="1"/>
    <row r="47" spans="2:16" ht="14.25" customHeight="1"/>
    <row r="48" spans="2:1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K38:P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K18"/>
  <sheetViews>
    <sheetView workbookViewId="0">
      <selection activeCell="M11" sqref="M11"/>
    </sheetView>
  </sheetViews>
  <sheetFormatPr defaultColWidth="14.44140625" defaultRowHeight="15" customHeight="1"/>
  <cols>
    <col min="1" max="1" width="4.44140625" customWidth="1"/>
    <col min="2" max="2" width="27.109375" customWidth="1"/>
    <col min="3" max="3" width="9" customWidth="1"/>
    <col min="4" max="4" width="11.109375" customWidth="1"/>
    <col min="5" max="5" width="9.44140625" customWidth="1"/>
    <col min="6" max="6" width="10.33203125" customWidth="1"/>
    <col min="7" max="7" width="7.5546875" customWidth="1"/>
    <col min="8" max="8" width="10.5546875" style="20" customWidth="1"/>
    <col min="9" max="9" width="7.5546875" style="20" customWidth="1"/>
    <col min="10" max="10" width="7.88671875" customWidth="1"/>
    <col min="11" max="11" width="7.33203125" customWidth="1"/>
  </cols>
  <sheetData>
    <row r="3" spans="1:11" ht="14.4">
      <c r="A3" s="44" t="s">
        <v>38</v>
      </c>
      <c r="B3" s="43"/>
      <c r="C3" s="43"/>
      <c r="D3" s="43"/>
      <c r="E3" s="43"/>
      <c r="F3" s="43"/>
      <c r="G3" s="43"/>
      <c r="H3" s="43"/>
      <c r="I3" s="43"/>
      <c r="J3" s="43"/>
    </row>
    <row r="4" spans="1:11" ht="14.4">
      <c r="A4" s="22" t="s">
        <v>22</v>
      </c>
      <c r="B4" s="23" t="s">
        <v>23</v>
      </c>
      <c r="C4" s="24" t="s">
        <v>24</v>
      </c>
      <c r="D4" s="32" t="s">
        <v>35</v>
      </c>
      <c r="E4" s="32" t="s">
        <v>36</v>
      </c>
      <c r="F4" s="32" t="s">
        <v>1</v>
      </c>
      <c r="G4" s="25" t="s">
        <v>26</v>
      </c>
      <c r="H4" s="32" t="s">
        <v>2</v>
      </c>
      <c r="I4" s="32" t="s">
        <v>3</v>
      </c>
      <c r="J4" s="33" t="s">
        <v>4</v>
      </c>
      <c r="K4" s="26" t="s">
        <v>37</v>
      </c>
    </row>
    <row r="5" spans="1:11" ht="14.4">
      <c r="A5" s="27">
        <v>1</v>
      </c>
      <c r="B5" s="2" t="s">
        <v>10</v>
      </c>
      <c r="C5" s="28">
        <v>0.85</v>
      </c>
      <c r="D5" s="3">
        <v>0.87</v>
      </c>
      <c r="E5" s="3">
        <v>0.87</v>
      </c>
      <c r="F5" s="3">
        <v>0.86</v>
      </c>
      <c r="G5" s="3">
        <f>AVERAGE(D5:F5)</f>
        <v>0.8666666666666667</v>
      </c>
      <c r="H5" s="34">
        <v>0.86</v>
      </c>
      <c r="I5" s="34">
        <v>0.86</v>
      </c>
      <c r="J5" s="35">
        <v>0.85</v>
      </c>
      <c r="K5" s="29">
        <f>AVERAGE(H5:J5)</f>
        <v>0.85666666666666658</v>
      </c>
    </row>
    <row r="6" spans="1:11" ht="27" customHeight="1">
      <c r="A6" s="30">
        <v>2</v>
      </c>
      <c r="B6" s="2" t="s">
        <v>11</v>
      </c>
      <c r="C6" s="28">
        <v>1</v>
      </c>
      <c r="D6" s="4">
        <v>1</v>
      </c>
      <c r="E6" s="4">
        <v>1</v>
      </c>
      <c r="F6" s="4">
        <v>1</v>
      </c>
      <c r="G6" s="3">
        <f t="shared" ref="G6:G15" si="0">AVERAGE(D6:F6)</f>
        <v>1</v>
      </c>
      <c r="H6" s="4">
        <v>1</v>
      </c>
      <c r="I6" s="4">
        <v>1</v>
      </c>
      <c r="J6" s="12">
        <v>1</v>
      </c>
      <c r="K6" s="29">
        <f t="shared" ref="K6:K17" si="1">AVERAGE(H6:J6)</f>
        <v>1</v>
      </c>
    </row>
    <row r="7" spans="1:11" ht="28.2" customHeight="1">
      <c r="A7" s="27">
        <v>3</v>
      </c>
      <c r="B7" s="2" t="s">
        <v>12</v>
      </c>
      <c r="C7" s="28">
        <v>1</v>
      </c>
      <c r="D7" s="3">
        <v>1</v>
      </c>
      <c r="E7" s="3">
        <v>1</v>
      </c>
      <c r="F7" s="3">
        <v>1</v>
      </c>
      <c r="G7" s="3">
        <f t="shared" si="0"/>
        <v>1</v>
      </c>
      <c r="H7" s="3">
        <v>1</v>
      </c>
      <c r="I7" s="3">
        <v>1</v>
      </c>
      <c r="J7" s="21">
        <v>1</v>
      </c>
      <c r="K7" s="29">
        <f t="shared" si="1"/>
        <v>1</v>
      </c>
    </row>
    <row r="8" spans="1:11" ht="37.200000000000003" customHeight="1">
      <c r="A8" s="30">
        <v>4</v>
      </c>
      <c r="B8" s="31" t="s">
        <v>13</v>
      </c>
      <c r="C8" s="24" t="s">
        <v>29</v>
      </c>
      <c r="D8" s="4">
        <v>1</v>
      </c>
      <c r="E8" s="3">
        <v>1</v>
      </c>
      <c r="F8" s="3">
        <v>1</v>
      </c>
      <c r="G8" s="3">
        <f t="shared" si="0"/>
        <v>1</v>
      </c>
      <c r="H8" s="3">
        <v>1</v>
      </c>
      <c r="I8" s="3">
        <v>1</v>
      </c>
      <c r="J8" s="21">
        <v>1</v>
      </c>
      <c r="K8" s="29">
        <f t="shared" si="1"/>
        <v>1</v>
      </c>
    </row>
    <row r="9" spans="1:11" ht="14.4">
      <c r="A9" s="27">
        <v>5</v>
      </c>
      <c r="B9" s="31" t="s">
        <v>14</v>
      </c>
      <c r="C9" s="24" t="s">
        <v>29</v>
      </c>
      <c r="D9" s="3">
        <v>1</v>
      </c>
      <c r="E9" s="3">
        <v>1</v>
      </c>
      <c r="F9" s="3">
        <v>1</v>
      </c>
      <c r="G9" s="3">
        <f t="shared" si="0"/>
        <v>1</v>
      </c>
      <c r="H9" s="3">
        <v>1</v>
      </c>
      <c r="I9" s="3">
        <v>1</v>
      </c>
      <c r="J9" s="21">
        <v>1</v>
      </c>
      <c r="K9" s="29">
        <f t="shared" si="1"/>
        <v>1</v>
      </c>
    </row>
    <row r="10" spans="1:11" ht="14.4">
      <c r="A10" s="27">
        <v>6</v>
      </c>
      <c r="B10" s="31" t="s">
        <v>15</v>
      </c>
      <c r="C10" s="24" t="s">
        <v>30</v>
      </c>
      <c r="D10" s="3">
        <v>0.01</v>
      </c>
      <c r="E10" s="3">
        <v>0.01</v>
      </c>
      <c r="F10" s="3">
        <v>0.01</v>
      </c>
      <c r="G10" s="3">
        <f t="shared" si="0"/>
        <v>0.01</v>
      </c>
      <c r="H10" s="3">
        <v>0.02</v>
      </c>
      <c r="I10" s="3">
        <v>0.01</v>
      </c>
      <c r="J10" s="21">
        <v>0.01</v>
      </c>
      <c r="K10" s="29">
        <f t="shared" si="1"/>
        <v>1.3333333333333334E-2</v>
      </c>
    </row>
    <row r="11" spans="1:11" ht="14.4">
      <c r="A11" s="27">
        <v>7</v>
      </c>
      <c r="B11" s="31" t="s">
        <v>16</v>
      </c>
      <c r="C11" s="24" t="s">
        <v>29</v>
      </c>
      <c r="D11" s="3">
        <v>0.68</v>
      </c>
      <c r="E11" s="3">
        <v>0.68</v>
      </c>
      <c r="F11" s="3">
        <v>0.68</v>
      </c>
      <c r="G11" s="3">
        <f t="shared" si="0"/>
        <v>0.68</v>
      </c>
      <c r="H11" s="3">
        <v>0.62</v>
      </c>
      <c r="I11" s="3">
        <v>0.62</v>
      </c>
      <c r="J11" s="21">
        <v>0.62</v>
      </c>
      <c r="K11" s="29">
        <f t="shared" si="1"/>
        <v>0.62</v>
      </c>
    </row>
    <row r="12" spans="1:11" ht="28.2" customHeight="1">
      <c r="A12" s="27">
        <v>8</v>
      </c>
      <c r="B12" s="31" t="s">
        <v>17</v>
      </c>
      <c r="C12" s="28">
        <v>1</v>
      </c>
      <c r="D12" s="3">
        <v>1</v>
      </c>
      <c r="E12" s="3">
        <v>1</v>
      </c>
      <c r="F12" s="3">
        <v>1</v>
      </c>
      <c r="G12" s="3">
        <f t="shared" si="0"/>
        <v>1</v>
      </c>
      <c r="H12" s="3">
        <v>1</v>
      </c>
      <c r="I12" s="3">
        <v>1</v>
      </c>
      <c r="J12" s="21">
        <v>1</v>
      </c>
      <c r="K12" s="29">
        <f t="shared" si="1"/>
        <v>1</v>
      </c>
    </row>
    <row r="13" spans="1:11" ht="39.6" customHeight="1">
      <c r="A13" s="27">
        <v>9</v>
      </c>
      <c r="B13" s="31" t="s">
        <v>18</v>
      </c>
      <c r="C13" s="24" t="s">
        <v>29</v>
      </c>
      <c r="D13" s="4">
        <v>0.94</v>
      </c>
      <c r="E13" s="3">
        <v>0.95</v>
      </c>
      <c r="F13" s="3">
        <v>0.94</v>
      </c>
      <c r="G13" s="3">
        <f t="shared" si="0"/>
        <v>0.94333333333333336</v>
      </c>
      <c r="H13" s="3">
        <v>0.92</v>
      </c>
      <c r="I13" s="3">
        <v>0.92</v>
      </c>
      <c r="J13" s="21">
        <v>0.92</v>
      </c>
      <c r="K13" s="29">
        <f t="shared" si="1"/>
        <v>0.92</v>
      </c>
    </row>
    <row r="14" spans="1:11" ht="34.799999999999997" customHeight="1">
      <c r="A14" s="27">
        <v>10</v>
      </c>
      <c r="B14" s="31" t="s">
        <v>31</v>
      </c>
      <c r="C14" s="24" t="s">
        <v>29</v>
      </c>
      <c r="D14" s="3">
        <v>0.96</v>
      </c>
      <c r="E14" s="3">
        <v>0.96</v>
      </c>
      <c r="F14" s="3">
        <v>1</v>
      </c>
      <c r="G14" s="3">
        <f t="shared" si="0"/>
        <v>0.97333333333333327</v>
      </c>
      <c r="H14" s="3">
        <v>1</v>
      </c>
      <c r="I14" s="3">
        <v>0.96</v>
      </c>
      <c r="J14" s="21">
        <v>0.92</v>
      </c>
      <c r="K14" s="29">
        <f t="shared" si="1"/>
        <v>0.96</v>
      </c>
    </row>
    <row r="15" spans="1:11" ht="33" customHeight="1">
      <c r="A15" s="27">
        <v>11</v>
      </c>
      <c r="B15" s="31" t="s">
        <v>19</v>
      </c>
      <c r="C15" s="28">
        <v>1</v>
      </c>
      <c r="D15" s="3">
        <v>1</v>
      </c>
      <c r="E15" s="6">
        <v>100</v>
      </c>
      <c r="F15" s="3">
        <v>1</v>
      </c>
      <c r="G15" s="3">
        <f t="shared" si="0"/>
        <v>34</v>
      </c>
      <c r="H15" s="3">
        <v>1</v>
      </c>
      <c r="I15" s="3">
        <v>1</v>
      </c>
      <c r="J15" s="21">
        <v>1</v>
      </c>
      <c r="K15" s="29">
        <f t="shared" si="1"/>
        <v>1</v>
      </c>
    </row>
    <row r="16" spans="1:11" ht="14.4">
      <c r="A16" s="27">
        <v>12</v>
      </c>
      <c r="B16" s="31" t="s">
        <v>32</v>
      </c>
      <c r="C16" s="24" t="s">
        <v>33</v>
      </c>
      <c r="D16" s="45">
        <v>85</v>
      </c>
      <c r="E16" s="46"/>
      <c r="F16" s="46"/>
      <c r="G16" s="46"/>
      <c r="H16" s="46"/>
      <c r="I16" s="46"/>
      <c r="J16" s="46"/>
      <c r="K16" s="29"/>
    </row>
    <row r="17" spans="1:11" ht="46.2" customHeight="1">
      <c r="A17" s="27">
        <v>13</v>
      </c>
      <c r="B17" s="31" t="s">
        <v>20</v>
      </c>
      <c r="C17" s="24" t="s">
        <v>29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29">
        <f t="shared" si="1"/>
        <v>1</v>
      </c>
    </row>
    <row r="18" spans="1:11" ht="14.4"/>
  </sheetData>
  <mergeCells count="2">
    <mergeCell ref="A3:J3"/>
    <mergeCell ref="D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Grafik TW 2 2026</vt:lpstr>
      <vt:lpstr>DATA FIKS TH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Liulin Nuha</dc:creator>
  <cp:lastModifiedBy>Liulin Nuha</cp:lastModifiedBy>
  <dcterms:created xsi:type="dcterms:W3CDTF">2023-02-09T08:27:33Z</dcterms:created>
  <dcterms:modified xsi:type="dcterms:W3CDTF">2026-07-20T00:54:06Z</dcterms:modified>
</cp:coreProperties>
</file>